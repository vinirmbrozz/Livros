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<sst xmlns="http://schemas.openxmlformats.org/spreadsheetml/2006/main" count="37" uniqueCount="36">
  <si>
    <t>Meta de Aposentadoria</t>
  </si>
  <si>
    <t>Investimento Inicial</t>
  </si>
  <si>
    <t>Aporte Mensal</t>
  </si>
  <si>
    <t>Rendimento</t>
  </si>
  <si>
    <t>Período</t>
  </si>
  <si>
    <t>30 anos</t>
  </si>
  <si>
    <t>Patrimônio</t>
  </si>
  <si>
    <t>Renda Passiva</t>
  </si>
  <si>
    <t>Ward</t>
  </si>
  <si>
    <t>https://ward.app.br/calculadora-juros-compostos</t>
  </si>
  <si>
    <t>Método de Alocação</t>
  </si>
  <si>
    <t>Classe de ativos</t>
  </si>
  <si>
    <t>% Alvo</t>
  </si>
  <si>
    <t>Valor Ideal</t>
  </si>
  <si>
    <t>Ações</t>
  </si>
  <si>
    <t>Fundos Imobiliários</t>
  </si>
  <si>
    <t>Ações no Exterior</t>
  </si>
  <si>
    <t>Renda Fixa</t>
  </si>
  <si>
    <t>Cripto</t>
  </si>
  <si>
    <t>Opções</t>
  </si>
  <si>
    <t>Mes</t>
  </si>
  <si>
    <t>R$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</si>
  <si>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</si>
  <si>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</si>
  <si>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</si>
  <si>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</si>
  <si>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</si>
  <si>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</si>
  <si>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</si>
  <si>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</si>
  <si>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</si>
  <si>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</si>
  <si>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</si>
  <si>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</si>
  <si>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Patrimônio Atual</t>
  </si>
  <si>
    <t>Patrimônio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</si>
</sst>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</fonts>
  <fills count="5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horizontal="center" readingOrder="0"/>
    </xf>
    <xf borderId="0" fillId="3" fontId="3" numFmtId="0" xfId="0" applyAlignment="1" applyFill="1" applyFont="1">
      <alignment horizontal="center" readingOrder="0"/>
    </xf>
    <xf borderId="0" fillId="0" fontId="2" numFmtId="164" xfId="0" applyAlignment="1" applyFont="1" applyNumberFormat="1">
      <alignment horizontal="center" readingOrder="0"/>
    </xf>
    <xf borderId="0" fillId="0" fontId="2" numFmtId="10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3" fontId="3" numFmtId="0" xfId="0" applyAlignment="1" applyFont="1">
      <alignment readingOrder="0"/>
    </xf>
    <xf borderId="0" fillId="0" fontId="2" numFmtId="9" xfId="0" applyAlignment="1" applyFont="1" applyNumberFormat="1">
      <alignment readingOrder="0"/>
    </xf>
    <xf borderId="0" fillId="0" fontId="2" numFmtId="164" xfId="0" applyFont="1" applyNumberFormat="1"/>
    <xf borderId="0" fillId="4" fontId="2" numFmtId="0" xfId="0" applyAlignment="1" applyFill="1" applyFont="1">
      <alignment readingOrder="0"/>
    </xf>
    <xf borderId="0" fillId="4" fontId="2" numFmtId="9" xfId="0" applyAlignment="1" applyFont="1" applyNumberFormat="1">
      <alignment readingOrder="0"/>
    </xf>
    <xf borderId="0" fillId="4" fontId="2" numFmtId="164" xfId="0" applyFont="1" applyNumberFormat="1"/>
    <xf borderId="0" fillId="3" fontId="2" numFmtId="0" xfId="0" applyFont="1"/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rd.app.br/calculadora-juros-composto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63"/>
    <col customWidth="1" min="2" max="2" width="15.25"/>
    <col customWidth="1" min="3" max="3" width="13.38"/>
    <col customWidth="1" min="4" max="4" width="24.13"/>
    <col customWidth="1" min="5" max="5" width="23.0"/>
  </cols>
  <sheetData>
    <row r="1">
      <c r="A1" s="1" t="s">
        <v>0</v>
      </c>
      <c r="E1" s="2"/>
    </row>
    <row r="2">
      <c r="A2" s="3" t="s">
        <v>1</v>
      </c>
    </row>
    <row r="3">
      <c r="A3" s="4">
        <v>0.0</v>
      </c>
    </row>
    <row r="4">
      <c r="A4" s="3" t="s">
        <v>2</v>
      </c>
    </row>
    <row r="5">
      <c r="A5" s="4">
        <v>500.0</v>
      </c>
    </row>
    <row r="6">
      <c r="A6" s="3" t="s">
        <v>3</v>
      </c>
    </row>
    <row r="7">
      <c r="A7" s="5">
        <v>0.009</v>
      </c>
    </row>
    <row r="8">
      <c r="A8" s="3" t="s">
        <v>4</v>
      </c>
    </row>
    <row r="9">
      <c r="A9" s="2" t="s">
        <v>5</v>
      </c>
    </row>
    <row r="10">
      <c r="A10" s="3" t="s">
        <v>6</v>
      </c>
    </row>
    <row r="11">
      <c r="A11" s="4">
        <v>1342573.75</v>
      </c>
    </row>
    <row r="12">
      <c r="A12" s="3" t="s">
        <v>7</v>
      </c>
    </row>
    <row r="13">
      <c r="A13" s="4">
        <v>12083.16</v>
      </c>
    </row>
    <row r="14">
      <c r="A14" s="3" t="s">
        <v>8</v>
      </c>
    </row>
    <row r="15">
      <c r="A15" s="6" t="s">
        <v>9</v>
      </c>
    </row>
    <row r="16">
      <c r="A16" s="7"/>
    </row>
    <row r="17">
      <c r="A17" s="1" t="s">
        <v>10</v>
      </c>
      <c r="E17" s="8"/>
    </row>
    <row r="18">
      <c r="A18" s="9" t="s">
        <v>11</v>
      </c>
      <c r="B18" s="9" t="s">
        <v>12</v>
      </c>
      <c r="C18" s="9" t="s">
        <v>13</v>
      </c>
    </row>
    <row r="19">
      <c r="A19" s="8" t="s">
        <v>14</v>
      </c>
      <c r="B19" s="10">
        <v>0.25</v>
      </c>
      <c r="C19" s="11">
        <f>C26*B19</f>
        <v>1437.5</v>
      </c>
    </row>
    <row r="20">
      <c r="A20" s="8" t="s">
        <v>15</v>
      </c>
      <c r="B20" s="10">
        <v>0.25</v>
      </c>
      <c r="C20" s="11">
        <f>C26*B20</f>
        <v>1437.5</v>
      </c>
    </row>
    <row r="21">
      <c r="A21" s="8" t="s">
        <v>16</v>
      </c>
      <c r="B21" s="10">
        <v>0.25</v>
      </c>
      <c r="C21" s="11">
        <f>C26*B21</f>
        <v>1437.5</v>
      </c>
    </row>
    <row r="22">
      <c r="A22" s="8" t="s">
        <v>17</v>
      </c>
      <c r="B22" s="10">
        <v>0.2</v>
      </c>
      <c r="C22" s="11">
        <f>C26*B22</f>
        <v>1150</v>
      </c>
    </row>
    <row r="23">
      <c r="A23" s="12" t="s">
        <v>18</v>
      </c>
      <c r="B23" s="13">
        <v>0.05</v>
      </c>
      <c r="C23" s="14">
        <f>C26*B23</f>
        <v>287.5</v>
      </c>
    </row>
    <row r="24">
      <c r="A24" s="8" t="s">
        <v>19</v>
      </c>
      <c r="B24" s="10">
        <v>0.0</v>
      </c>
      <c r="C24" s="11">
        <f>C26*B24</f>
        <v>0</v>
      </c>
    </row>
    <row r="25">
      <c r="A25" s="15"/>
    </row>
    <row r="26">
      <c r="B26" s="10">
        <f>SUM(B19:B24)</f>
        <v>1</v>
      </c>
      <c r="C26" s="16">
        <f>B45</f>
        <v>5750</v>
      </c>
    </row>
    <row r="27">
      <c r="A27" s="15"/>
    </row>
    <row r="28">
      <c r="A28" s="1" t="s">
        <v>2</v>
      </c>
    </row>
    <row r="29">
      <c r="A29" s="9" t="s">
        <v>20</v>
      </c>
      <c r="B29" s="9" t="s">
        <v>21</v>
      </c>
    </row>
    <row r="30">
      <c r="A30" s="8" t="s">
        <v>22</v>
      </c>
      <c r="B30" s="16">
        <v>250.0</v>
      </c>
    </row>
    <row r="31">
      <c r="A31" s="8" t="s">
        <v>23</v>
      </c>
      <c r="B31" s="16">
        <v>5000.0</v>
      </c>
    </row>
    <row r="32">
      <c r="A32" s="8" t="s">
        <v>24</v>
      </c>
      <c r="B32" s="16">
        <v>500.0</v>
      </c>
    </row>
    <row r="33">
      <c r="A33" s="8" t="s">
        <v>25</v>
      </c>
      <c r="B33" s="16"/>
    </row>
    <row r="34">
      <c r="A34" s="8" t="s">
        <v>26</v>
      </c>
      <c r="B34" s="11"/>
    </row>
    <row r="35">
      <c r="A35" s="8" t="s">
        <v>27</v>
      </c>
      <c r="B35" s="11"/>
    </row>
    <row r="36">
      <c r="A36" s="8" t="s">
        <v>28</v>
      </c>
      <c r="B36" s="11"/>
    </row>
    <row r="37">
      <c r="A37" s="8" t="s">
        <v>29</v>
      </c>
      <c r="B37" s="11"/>
    </row>
    <row r="38">
      <c r="A38" s="8" t="s">
        <v>30</v>
      </c>
      <c r="B38" s="11"/>
    </row>
    <row r="39">
      <c r="A39" s="8" t="s">
        <v>31</v>
      </c>
      <c r="B39" s="11"/>
    </row>
    <row r="40">
      <c r="A40" s="8" t="s">
        <v>32</v>
      </c>
      <c r="B40" s="11"/>
    </row>
    <row r="41">
      <c r="A41" s="8" t="s">
        <v>33</v>
      </c>
      <c r="B41" s="11"/>
    </row>
    <row r="42">
      <c r="A42" s="15"/>
    </row>
    <row r="43">
      <c r="A43" s="8" t="s">
        <v>34</v>
      </c>
      <c r="B43" s="16"/>
    </row>
    <row r="44">
      <c r="A44" s="15"/>
    </row>
    <row r="45">
      <c r="A45" s="8" t="s">
        <v>35</v>
      </c>
      <c r="B45" s="11">
        <f>SUM(B30:D41,B43)</f>
        <v>5750</v>
      </c>
    </row>
    <row r="46">
      <c r="A46" s="15"/>
    </row>
  </sheetData>
  <mergeCells count="46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C18:D18"/>
    <mergeCell ref="C19:D19"/>
    <mergeCell ref="C20:D20"/>
    <mergeCell ref="C21:D21"/>
    <mergeCell ref="C22:D22"/>
    <mergeCell ref="C23:D23"/>
    <mergeCell ref="C24:D24"/>
    <mergeCell ref="A25:D25"/>
    <mergeCell ref="C26:D26"/>
    <mergeCell ref="A27:D27"/>
    <mergeCell ref="A28:D28"/>
    <mergeCell ref="B29:D29"/>
    <mergeCell ref="B30:D30"/>
    <mergeCell ref="B31:D31"/>
    <mergeCell ref="B32:D32"/>
    <mergeCell ref="B33:D33"/>
    <mergeCell ref="B34:D34"/>
    <mergeCell ref="B35:D35"/>
    <mergeCell ref="B43:D43"/>
    <mergeCell ref="A44:D44"/>
    <mergeCell ref="B45:D45"/>
    <mergeCell ref="A46:D46"/>
    <mergeCell ref="B36:D36"/>
    <mergeCell ref="B37:D37"/>
    <mergeCell ref="B38:D38"/>
    <mergeCell ref="B39:D39"/>
    <mergeCell ref="B40:D40"/>
    <mergeCell ref="B41:D41"/>
    <mergeCell ref="A42:D42"/>
  </mergeCells>
  <hyperlinks>
    <hyperlink r:id="rId1" ref="A15"/>
  </hyperlinks>
  <drawing r:id="rId2"/>
</worksheet>
</file>